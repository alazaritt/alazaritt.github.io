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la\Downloads\"/>
    </mc:Choice>
  </mc:AlternateContent>
  <xr:revisionPtr revIDLastSave="0" documentId="13_ncr:1_{B8B8655A-EF1F-416F-B430-661505BCED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wer Budget" sheetId="1" r:id="rId1"/>
  </sheets>
  <definedNames>
    <definedName name="_xlnm.Print_Area" localSheetId="0">'Power Budget'!$A$1:$H$29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17" i="1"/>
  <c r="G16" i="1"/>
  <c r="G21" i="1"/>
  <c r="G10" i="1"/>
  <c r="G9" i="1"/>
  <c r="G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<sst xmlns="http://schemas.openxmlformats.org/spreadsheetml/2006/main" count="79" uniqueCount="46">
  <si>
    <t>Team Number:</t>
  </si>
  <si>
    <t>Project Name: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</si>
  <si>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</si>
  <si>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</si>
  <si>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</si>
  <si>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</si>
  <si>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</si>
  <si>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</si>
  <si>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</si>
  <si>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</si>
  <si>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</si>
  <si>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</si>
  <si>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>5V regulator</t>
  </si>
  <si>
    <t>Safety Margin</t>
  </si>
  <si>
    <t>Total Current Required on +12V Rail</t>
  </si>
  <si>
    <t xml:space="preserve"> +5V Power Rail</t>
  </si>
  <si>
    <t xml:space="preserve"> +5V Regulator</t>
  </si>
  <si>
    <t>Total Remaining Current Available on +5V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</si>
  <si>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</si>
  <si>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</si>
  <si>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</si>
  <si>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</si>
  <si>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</si>
  <si>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Supply Voltage Range</t>
  </si>
  <si>
    <t>Qty.</t>
  </si>
  <si>
    <t>Regulator</t>
  </si>
  <si>
    <t>Total Current
(mA)</t>
  </si>
  <si>
    <t>Absolute Maximum Current (mA)</t>
  </si>
  <si>
    <t>sound and motion light</t>
  </si>
  <si>
    <t>Microphone</t>
  </si>
  <si>
    <t xml:space="preserve"> +2 - 10V</t>
  </si>
  <si>
    <t xml:space="preserve"> +1.8 - 6V</t>
  </si>
  <si>
    <t xml:space="preserve"> +5 V</t>
  </si>
  <si>
    <t xml:space="preserve"> +5 - 24V</t>
  </si>
  <si>
    <t>RS PRO 7542100</t>
  </si>
  <si>
    <t>MCP6004</t>
  </si>
  <si>
    <t>PIC18F57Q43</t>
  </si>
  <si>
    <t>L7805CV</t>
  </si>
  <si>
    <t>Op-amp</t>
  </si>
  <si>
    <t>Curiosity nano</t>
  </si>
  <si>
    <t xml:space="preserve"> +5V regulator</t>
  </si>
  <si>
    <t xml:space="preserve"> +5V</t>
  </si>
  <si>
    <t>WSU060-2000</t>
  </si>
  <si>
    <t>Wall power adapter</t>
  </si>
  <si>
    <t>100-240 VAC</t>
  </si>
  <si>
    <t>Power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</si>
</sst>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4" fillId="0" borderId="3" xfId="0" applyFont="1" applyBorder="1"/>
    <xf numFmtId="0" fontId="3" fillId="0" borderId="3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5" xfId="0" applyFont="1" applyBorder="1"/>
    <xf numFmtId="0" fontId="2" fillId="0" borderId="17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9" fontId="2" fillId="0" borderId="19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5" fillId="0" borderId="19" xfId="0" applyFont="1" applyBorder="1" applyAlignment="1">
      <alignment horizontal="left" wrapText="1"/>
    </xf>
    <xf numFmtId="0" fontId="2" fillId="0" borderId="19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5" fillId="3" borderId="8" xfId="0" applyFont="1" applyFill="1" applyBorder="1" applyAlignment="1">
      <alignment vertical="center"/>
    </xf>
    <xf numFmtId="0" fontId="5" fillId="3" borderId="20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2" borderId="1" xfId="0" applyFont="1" applyFill="1" applyBorder="1" applyAlignment="1">
      <alignment wrapText="1"/>
    </xf>
    <xf numFmtId="0" fontId="4" fillId="0" borderId="4" xfId="0" applyFont="1" applyBorder="1"/>
    <xf numFmtId="0" fontId="4" fillId="0" borderId="6" xfId="0" applyFont="1" applyBorder="1"/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49" fontId="5" fillId="0" borderId="32" xfId="0" applyNumberFormat="1" applyFont="1" applyBorder="1" applyAlignment="1">
      <alignment horizontal="right"/>
    </xf>
    <xf numFmtId="0" fontId="5" fillId="0" borderId="30" xfId="0" applyFont="1" applyBorder="1" applyAlignment="1">
      <alignment horizontal="right"/>
    </xf>
    <xf numFmtId="0" fontId="5" fillId="0" borderId="3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33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35" xfId="0" applyFont="1" applyBorder="1" applyAlignment="1">
      <alignment horizontal="right"/>
    </xf>
    <xf numFmtId="49" fontId="5" fillId="0" borderId="25" xfId="0" applyNumberFormat="1" applyFont="1" applyBorder="1" applyAlignment="1">
      <alignment horizontal="right"/>
    </xf>
    <xf numFmtId="49" fontId="5" fillId="0" borderId="26" xfId="0" applyNumberFormat="1" applyFont="1" applyBorder="1" applyAlignment="1">
      <alignment horizontal="right"/>
    </xf>
    <xf numFmtId="49" fontId="5" fillId="0" borderId="27" xfId="0" applyNumberFormat="1" applyFont="1" applyBorder="1" applyAlignment="1">
      <alignment horizontal="right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29"/>
  <sheetViews>
    <sheetView tabSelected="1" workbookViewId="0">
      <selection sqref="A1:H1"/>
    </sheetView>
  </sheetViews>
  <sheetFormatPr defaultColWidth="13.5" defaultRowHeight="15.75" customHeight="1" x14ac:dyDescent="0.35"/>
  <cols>
    <col min="1" max="1" width="22.5" style="1" customWidth="1"/>
    <col min="2" max="2" width="20.08203125" style="1" customWidth="1"/>
    <col min="3" max="3" width="15.75" style="1" customWidth="1"/>
    <col min="4" max="4" width="11.5" style="1" customWidth="1"/>
    <col min="5" max="5" width="7.25" style="1" customWidth="1"/>
    <col min="6" max="6" width="12.33203125" style="5" customWidth="1"/>
    <col min="7" max="7" width="11.33203125" style="5" customWidth="1"/>
    <col min="8" max="8" width="9" style="5" customWidth="1"/>
    <col min="9" max="16384" width="13.5" style="1"/>
  </cols>
  <sheetData>
    <row r="1" spans="1:8" ht="30" customHeight="1" x14ac:dyDescent="0.7">
      <c r="A1" s="56" t="s">
        <v>45</v>
      </c>
      <c r="B1" s="57"/>
      <c r="C1" s="57"/>
      <c r="D1" s="57"/>
      <c r="E1" s="57"/>
      <c r="F1" s="57"/>
      <c r="G1" s="57"/>
      <c r="H1" s="57"/>
    </row>
    <row r="2" spans="1:8" ht="15" customHeight="1" x14ac:dyDescent="0.35">
      <c r="A2" s="10" t="s">
        <v>0</v>
      </c>
      <c r="B2" s="11">
        <v>205</v>
      </c>
      <c r="D2" s="2"/>
      <c r="E2" s="2"/>
    </row>
    <row r="3" spans="1:8" ht="15" customHeight="1" x14ac:dyDescent="0.35">
      <c r="A3" s="10" t="s">
        <v>1</v>
      </c>
      <c r="B3" s="12" t="s">
        <v>28</v>
      </c>
      <c r="C3" s="3"/>
      <c r="D3" s="2"/>
      <c r="E3" s="2"/>
      <c r="F3" s="2"/>
      <c r="G3" s="2"/>
      <c r="H3" s="2"/>
    </row>
    <row r="4" spans="1:8" ht="15" customHeight="1" x14ac:dyDescent="0.35">
      <c r="A4" s="10" t="s">
        <v>2</v>
      </c>
      <c r="B4" s="12">
        <v>1</v>
      </c>
      <c r="C4" s="3"/>
      <c r="D4" s="2"/>
      <c r="E4" s="2"/>
      <c r="F4" s="2"/>
      <c r="G4" s="2"/>
      <c r="H4" s="2"/>
    </row>
    <row r="5" spans="1:8" ht="15" customHeight="1" x14ac:dyDescent="0.35">
      <c r="A5" s="3"/>
      <c r="B5" s="3"/>
      <c r="C5" s="3"/>
      <c r="D5" s="2"/>
      <c r="E5" s="2"/>
      <c r="F5" s="2"/>
      <c r="G5" s="2"/>
      <c r="H5" s="2"/>
    </row>
    <row r="6" spans="1:8" ht="15" hidden="1" customHeight="1" x14ac:dyDescent="0.35">
      <c r="A6" s="58" t="s">
        <v>3</v>
      </c>
      <c r="B6" s="59"/>
      <c r="C6" s="59"/>
      <c r="D6" s="59"/>
      <c r="E6" s="59"/>
      <c r="F6" s="59"/>
      <c r="G6" s="59"/>
      <c r="H6" s="60"/>
    </row>
    <row r="7" spans="1:8" ht="47" thickBot="1" x14ac:dyDescent="0.4">
      <c r="A7" s="16" t="s">
        <v>4</v>
      </c>
      <c r="B7" s="17" t="s">
        <v>5</v>
      </c>
      <c r="C7" s="17" t="s">
        <v>6</v>
      </c>
      <c r="D7" s="18" t="s">
        <v>23</v>
      </c>
      <c r="E7" s="17" t="s">
        <v>24</v>
      </c>
      <c r="F7" s="18" t="s">
        <v>27</v>
      </c>
      <c r="G7" s="18" t="s">
        <v>26</v>
      </c>
      <c r="H7" s="17" t="s">
        <v>10</v>
      </c>
    </row>
    <row r="8" spans="1:8" ht="15" customHeight="1" x14ac:dyDescent="0.35">
      <c r="A8" s="4"/>
      <c r="B8" s="23" t="s">
        <v>29</v>
      </c>
      <c r="C8" s="24" t="s">
        <v>34</v>
      </c>
      <c r="D8" s="25" t="s">
        <v>30</v>
      </c>
      <c r="E8" s="25">
        <v>1</v>
      </c>
      <c r="F8" s="25">
        <v>0.5</v>
      </c>
      <c r="G8" s="25">
        <v>0.5</v>
      </c>
      <c r="H8" s="30" t="s">
        <v>11</v>
      </c>
    </row>
    <row r="9" spans="1:8" ht="15" customHeight="1" x14ac:dyDescent="0.35">
      <c r="A9" s="4"/>
      <c r="B9" s="26" t="s">
        <v>38</v>
      </c>
      <c r="C9" s="13" t="s">
        <v>35</v>
      </c>
      <c r="D9" s="14" t="s">
        <v>31</v>
      </c>
      <c r="E9" s="14">
        <v>1</v>
      </c>
      <c r="F9" s="14">
        <v>2</v>
      </c>
      <c r="G9" s="14">
        <f t="shared" ref="G9:G10" si="0">E9*F9</f>
        <v>2</v>
      </c>
      <c r="H9" s="31" t="s">
        <v>11</v>
      </c>
    </row>
    <row r="10" spans="1:8" ht="15" customHeight="1" x14ac:dyDescent="0.35">
      <c r="A10" s="4"/>
      <c r="B10" s="26" t="s">
        <v>39</v>
      </c>
      <c r="C10" s="13" t="s">
        <v>36</v>
      </c>
      <c r="D10" s="14" t="s">
        <v>32</v>
      </c>
      <c r="E10" s="14">
        <v>1</v>
      </c>
      <c r="F10" s="14">
        <v>500</v>
      </c>
      <c r="G10" s="14">
        <f t="shared" si="0"/>
        <v>500</v>
      </c>
      <c r="H10" s="31" t="s">
        <v>11</v>
      </c>
    </row>
    <row r="11" spans="1:8" ht="15" customHeight="1" thickBot="1" x14ac:dyDescent="0.4">
      <c r="A11" s="4"/>
      <c r="B11" s="26" t="s">
        <v>12</v>
      </c>
      <c r="C11" s="13" t="s">
        <v>37</v>
      </c>
      <c r="D11" s="29" t="s">
        <v>33</v>
      </c>
      <c r="E11" s="14">
        <v>1</v>
      </c>
      <c r="F11" s="14">
        <v>1500</v>
      </c>
      <c r="G11" s="14">
        <v>1500</v>
      </c>
      <c r="H11" s="31" t="s">
        <v>11</v>
      </c>
    </row>
    <row r="12" spans="1:8" ht="15" customHeight="1" thickBot="1" x14ac:dyDescent="0.4">
      <c r="A12" s="4"/>
      <c r="B12" s="27"/>
      <c r="C12" s="28"/>
      <c r="D12" s="29"/>
      <c r="E12" s="29"/>
      <c r="F12" s="29"/>
      <c r="G12" s="29"/>
      <c r="H12" s="32"/>
    </row>
    <row r="13" spans="1:8" ht="15" customHeight="1" x14ac:dyDescent="0.35">
      <c r="A13" s="6"/>
      <c r="B13" s="12"/>
      <c r="C13" s="12"/>
      <c r="D13" s="21"/>
      <c r="E13" s="21"/>
      <c r="F13" s="21"/>
      <c r="G13" s="22"/>
      <c r="H13" s="22"/>
    </row>
    <row r="14" spans="1:8" ht="47" thickBot="1" x14ac:dyDescent="0.4">
      <c r="A14" s="40" t="s">
        <v>15</v>
      </c>
      <c r="B14" s="17" t="s">
        <v>5</v>
      </c>
      <c r="C14" s="17" t="s">
        <v>6</v>
      </c>
      <c r="D14" s="18" t="s">
        <v>23</v>
      </c>
      <c r="E14" s="17" t="s">
        <v>24</v>
      </c>
      <c r="F14" s="18" t="s">
        <v>27</v>
      </c>
      <c r="G14" s="18" t="s">
        <v>26</v>
      </c>
      <c r="H14" s="17" t="s">
        <v>10</v>
      </c>
    </row>
    <row r="15" spans="1:8" ht="15" customHeight="1" x14ac:dyDescent="0.35">
      <c r="A15" s="4"/>
      <c r="B15" s="23" t="s">
        <v>29</v>
      </c>
      <c r="C15" s="24" t="s">
        <v>34</v>
      </c>
      <c r="D15" s="25" t="s">
        <v>41</v>
      </c>
      <c r="E15" s="25">
        <v>1</v>
      </c>
      <c r="F15" s="25">
        <v>0.5</v>
      </c>
      <c r="G15" s="25">
        <v>0.5</v>
      </c>
      <c r="H15" s="30" t="s">
        <v>11</v>
      </c>
    </row>
    <row r="16" spans="1:8" ht="15" customHeight="1" x14ac:dyDescent="0.35">
      <c r="A16" s="4"/>
      <c r="B16" s="26" t="s">
        <v>38</v>
      </c>
      <c r="C16" s="13" t="s">
        <v>35</v>
      </c>
      <c r="D16" s="14" t="s">
        <v>41</v>
      </c>
      <c r="E16" s="14">
        <v>1</v>
      </c>
      <c r="F16" s="14">
        <v>2</v>
      </c>
      <c r="G16" s="14">
        <f t="shared" ref="G16:G17" si="1">E16*F16</f>
        <v>2</v>
      </c>
      <c r="H16" s="31" t="s">
        <v>11</v>
      </c>
    </row>
    <row r="17" spans="1:8" ht="15" customHeight="1" x14ac:dyDescent="0.35">
      <c r="A17" s="4"/>
      <c r="B17" s="26" t="s">
        <v>39</v>
      </c>
      <c r="C17" s="13" t="s">
        <v>36</v>
      </c>
      <c r="D17" s="14" t="s">
        <v>32</v>
      </c>
      <c r="E17" s="14">
        <v>1</v>
      </c>
      <c r="F17" s="14">
        <v>500</v>
      </c>
      <c r="G17" s="14">
        <f t="shared" si="1"/>
        <v>500</v>
      </c>
      <c r="H17" s="31" t="s">
        <v>11</v>
      </c>
    </row>
    <row r="18" spans="1:8" ht="15" customHeight="1" thickBot="1" x14ac:dyDescent="0.4">
      <c r="A18" s="4"/>
      <c r="B18" s="20"/>
      <c r="C18" s="20"/>
      <c r="D18" s="67" t="s">
        <v>13</v>
      </c>
      <c r="E18" s="68"/>
      <c r="F18" s="69"/>
      <c r="G18" s="34">
        <v>0.25</v>
      </c>
      <c r="H18" s="34"/>
    </row>
    <row r="19" spans="1:8" ht="15" customHeight="1" thickTop="1" x14ac:dyDescent="0.35">
      <c r="A19" s="7"/>
      <c r="B19" s="20"/>
      <c r="C19" s="20"/>
      <c r="D19" s="64" t="s">
        <v>14</v>
      </c>
      <c r="E19" s="65"/>
      <c r="F19" s="66"/>
      <c r="G19" s="15">
        <v>628.125</v>
      </c>
      <c r="H19" s="15" t="s">
        <v>11</v>
      </c>
    </row>
    <row r="20" spans="1:8" ht="15" customHeight="1" x14ac:dyDescent="0.35">
      <c r="A20" s="8"/>
      <c r="B20" s="9"/>
      <c r="C20" s="9"/>
      <c r="D20" s="5"/>
      <c r="E20" s="5"/>
      <c r="G20" s="19"/>
      <c r="H20" s="19"/>
    </row>
    <row r="21" spans="1:8" ht="15" customHeight="1" thickBot="1" x14ac:dyDescent="0.4">
      <c r="A21" s="37" t="s">
        <v>25</v>
      </c>
      <c r="B21" s="38" t="s">
        <v>40</v>
      </c>
      <c r="C21" s="38" t="s">
        <v>37</v>
      </c>
      <c r="D21" s="33" t="s">
        <v>41</v>
      </c>
      <c r="E21" s="33">
        <v>1</v>
      </c>
      <c r="F21" s="33">
        <v>1500</v>
      </c>
      <c r="G21" s="33">
        <f>E21*F21</f>
        <v>1500</v>
      </c>
      <c r="H21" s="33" t="s">
        <v>11</v>
      </c>
    </row>
    <row r="22" spans="1:8" ht="15" customHeight="1" thickTop="1" x14ac:dyDescent="0.35">
      <c r="A22" s="35"/>
      <c r="B22" s="61" t="s">
        <v>17</v>
      </c>
      <c r="C22" s="62"/>
      <c r="D22" s="62"/>
      <c r="E22" s="62"/>
      <c r="F22" s="63"/>
      <c r="G22" s="15">
        <f>G21-G19</f>
        <v>871.875</v>
      </c>
      <c r="H22" s="15" t="s">
        <v>11</v>
      </c>
    </row>
    <row r="23" spans="1:8" s="20" customFormat="1" ht="15" customHeight="1" thickBot="1" x14ac:dyDescent="0.4">
      <c r="A23" s="52"/>
      <c r="B23" s="52"/>
      <c r="C23" s="52"/>
      <c r="D23" s="52"/>
      <c r="E23" s="52"/>
      <c r="F23" s="53"/>
      <c r="G23" s="51"/>
      <c r="H23" s="50"/>
    </row>
    <row r="24" spans="1:8" ht="47" thickBot="1" x14ac:dyDescent="0.4">
      <c r="A24" s="41" t="s">
        <v>18</v>
      </c>
      <c r="B24" s="42" t="s">
        <v>5</v>
      </c>
      <c r="C24" s="42" t="s">
        <v>6</v>
      </c>
      <c r="D24" s="43" t="s">
        <v>7</v>
      </c>
      <c r="E24" s="43" t="s">
        <v>19</v>
      </c>
      <c r="F24" s="43" t="s">
        <v>8</v>
      </c>
      <c r="G24" s="43" t="s">
        <v>9</v>
      </c>
      <c r="H24" s="44" t="s">
        <v>10</v>
      </c>
    </row>
    <row r="25" spans="1:8" ht="15" customHeight="1" x14ac:dyDescent="0.35">
      <c r="A25" s="45" t="s">
        <v>20</v>
      </c>
      <c r="B25" s="39" t="s">
        <v>43</v>
      </c>
      <c r="C25" t="s">
        <v>42</v>
      </c>
      <c r="D25" s="15" t="s">
        <v>44</v>
      </c>
      <c r="E25" s="15">
        <v>5.9</v>
      </c>
      <c r="F25" s="15">
        <v>2000</v>
      </c>
      <c r="G25" s="15">
        <v>2000</v>
      </c>
      <c r="H25" s="46" t="s">
        <v>11</v>
      </c>
    </row>
    <row r="26" spans="1:8" ht="15" customHeight="1" x14ac:dyDescent="0.35">
      <c r="A26" s="47"/>
      <c r="B26" s="36"/>
      <c r="C26" s="36"/>
      <c r="D26" s="14"/>
      <c r="E26" s="14"/>
      <c r="F26" s="14"/>
      <c r="G26" s="14"/>
      <c r="H26" s="31"/>
    </row>
    <row r="27" spans="1:8" ht="15" customHeight="1" x14ac:dyDescent="0.35">
      <c r="A27" s="54" t="s">
        <v>21</v>
      </c>
      <c r="B27" s="36"/>
      <c r="C27" s="36"/>
      <c r="D27" s="14"/>
      <c r="E27" s="14"/>
      <c r="F27" s="14"/>
      <c r="G27" s="14"/>
      <c r="H27" s="31"/>
    </row>
    <row r="28" spans="1:8" ht="15" customHeight="1" x14ac:dyDescent="0.35">
      <c r="A28" s="55"/>
      <c r="B28" s="36" t="s">
        <v>16</v>
      </c>
      <c r="C28" s="36" t="s">
        <v>37</v>
      </c>
      <c r="D28" s="14">
        <v>5</v>
      </c>
      <c r="E28" s="14"/>
      <c r="F28" s="14">
        <v>1500</v>
      </c>
      <c r="G28" s="14">
        <v>1500</v>
      </c>
      <c r="H28" s="31" t="s">
        <v>11</v>
      </c>
    </row>
    <row r="29" spans="1:8" ht="15" customHeight="1" thickBot="1" x14ac:dyDescent="0.4">
      <c r="A29" s="70" t="s">
        <v>22</v>
      </c>
      <c r="B29" s="71"/>
      <c r="C29" s="71"/>
      <c r="D29" s="71"/>
      <c r="E29" s="71"/>
      <c r="F29" s="72"/>
      <c r="G29" s="48">
        <f>G25-SUM(G27:G28)</f>
        <v>500</v>
      </c>
      <c r="H29" s="49" t="s">
        <v>11</v>
      </c>
    </row>
  </sheetData>
  <mergeCells count="7">
    <mergeCell ref="A29:F29"/>
    <mergeCell ref="A27:A28"/>
    <mergeCell ref="A1:H1"/>
    <mergeCell ref="A6:H6"/>
    <mergeCell ref="B22:F22"/>
    <mergeCell ref="D19:F19"/>
    <mergeCell ref="D18:F18"/>
  </mergeCells>
  <conditionalFormatting sqref="G22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1" manualBreakCount="1">
    <brk id="22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 lazaritt</cp:lastModifiedBy>
  <cp:lastPrinted>2025-10-16T22:08:42Z</cp:lastPrinted>
  <dcterms:modified xsi:type="dcterms:W3CDTF">2025-10-16T22:24:53Z</dcterms:modified>
</cp:coreProperties>
</file>